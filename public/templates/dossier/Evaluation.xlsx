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gepedouardmontpetit-my.sharepoint.com/personal/vincent_drolet_cegepmontpetit_ca/Documents/Enseignement régulier/Stages/scriptPower/templates/"/>
    </mc:Choice>
  </mc:AlternateContent>
  <xr:revisionPtr revIDLastSave="2" documentId="13_ncr:1_{6C37909E-1500-412C-9E5A-C1A2298E80B9}" xr6:coauthVersionLast="47" xr6:coauthVersionMax="47" xr10:uidLastSave="{7A7EC4D0-42D9-4D25-8061-5C7EEE0A6402}"/>
  <bookViews>
    <workbookView xWindow="28680" yWindow="-120" windowWidth="29040" windowHeight="15840" xr2:uid="{05477674-1611-BC4E-AF0D-0A73648C31E9}"/>
  </bookViews>
  <sheets>
    <sheet name="evalu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/>
  <c r="D18" i="1" a="1"/>
  <c r="D18" i="1" s="1"/>
  <c r="D19" i="1" a="1"/>
  <c r="D19" i="1" s="1"/>
  <c r="D20" i="1" a="1"/>
  <c r="D20" i="1" s="1"/>
  <c r="D21" i="1" a="1"/>
  <c r="D21" i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6" i="1" a="1"/>
  <c r="D6" i="1" s="1"/>
  <c r="A25" i="1"/>
  <c r="A27" i="1"/>
  <c r="A26" i="1"/>
  <c r="A24" i="1"/>
  <c r="A23" i="1"/>
  <c r="A22" i="1"/>
  <c r="D32" i="1" l="1"/>
  <c r="D33" i="1" s="1"/>
  <c r="B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<sst xmlns="http://schemas.openxmlformats.org/spreadsheetml/2006/main" count="28" uniqueCount="26">
  <si>
    <t>1. Encadrement</t>
  </si>
  <si>
    <t>Sens des responsabilités</t>
  </si>
  <si>
    <t>Planification</t>
  </si>
  <si>
    <t>Prise de notes</t>
  </si>
  <si>
    <t>Méthode d'analyse</t>
  </si>
  <si>
    <t>Motivation, enthousiame au travail</t>
  </si>
  <si>
    <t>Respect des règlements de l'entreprise</t>
  </si>
  <si>
    <t>Esprit d'initiative et de recherche personnelle </t>
  </si>
  <si>
    <t>Réaction aux critiques, acceptation critique constructive</t>
  </si>
  <si>
    <t>Communication orale, langage (collègues et clients/utilisateurs)</t>
  </si>
  <si>
    <t>Communication écrite (courriels, messages etc.)</t>
  </si>
  <si>
    <t>Sociabilité, intégration</t>
  </si>
  <si>
    <t>Assiduité, présence au travail</t>
  </si>
  <si>
    <t>Ponctualité, respect des horaires</t>
  </si>
  <si>
    <t>Tenue habillement</t>
  </si>
  <si>
    <t>Bob Smith</t>
  </si>
  <si>
    <t>2. Méthodologie</t>
  </si>
  <si>
    <t>4. Français</t>
  </si>
  <si>
    <t>Qualité de la documentation produite</t>
  </si>
  <si>
    <t>Commentaires</t>
  </si>
  <si>
    <t>Evaluation globale</t>
  </si>
  <si>
    <t>Evaluation</t>
  </si>
  <si>
    <t>Programmation</t>
  </si>
  <si>
    <t>Le stagiaire a-t-il rempli les conditions de base pour un technicien débutant</t>
  </si>
  <si>
    <t>NOTE</t>
  </si>
  <si>
    <t>3. Tâches / Activités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</si>
</sst>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B5394"/>
      <name val="Arial"/>
      <family val="2"/>
    </font>
    <font>
      <b/>
      <sz val="12"/>
      <color rgb="FF1C4587"/>
      <name val="Arial"/>
      <family val="2"/>
    </font>
    <font>
      <sz val="18"/>
      <color theme="1"/>
      <name val="Calibri"/>
      <family val="2"/>
      <scheme val="minor"/>
    </font>
    <font>
      <sz val="11"/>
      <color theme="1"/>
      <name val="Calibri (Corps)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9" fontId="0" fillId="0" borderId="0" xfId="1" applyFont="1"/>
    <xf numFmtId="0" fontId="7" fillId="0" borderId="0" xfId="0" applyFont="1"/>
    <xf numFmtId="9" fontId="7" fillId="0" borderId="0" xfId="1" applyFont="1"/>
    <xf numFmtId="0" fontId="2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60A3-05AC-C640-B266-A33DAFA848E9}">
  <dimension ref="A1:D34"/>
  <sheetViews>
    <sheetView tabSelected="1" workbookViewId="0">
      <selection activeCell="D5" sqref="D5"/>
    </sheetView>
  </sheetViews>
  <sheetFormatPr defaultColWidth="10.6640625" defaultRowHeight="15.5"/>
  <cols>
    <col min="1" max="1" width="58.6640625" bestFit="1" customWidth="1"/>
    <col min="2" max="2" width="22.1640625" customWidth="1"/>
    <col min="3" max="3" width="46" customWidth="1"/>
    <col min="4" max="4" width="19.5" style="9" customWidth="1"/>
  </cols>
  <sheetData>
    <row r="1" spans="1:4" ht="50" customHeight="1">
      <c r="A1" s="6" t="s">
        <v>15</v>
      </c>
      <c r="B1" s="5" t="s">
        <v>21</v>
      </c>
      <c r="C1" s="1" t="s">
        <v>19</v>
      </c>
    </row>
    <row r="2" spans="1:4">
      <c r="A2" s="7" t="s">
        <v>22</v>
      </c>
      <c r="B2" s="5"/>
      <c r="C2" s="1"/>
    </row>
    <row r="3" spans="1:4">
      <c r="A3" s="2" t="s">
        <v>20</v>
      </c>
      <c r="B3" s="3"/>
      <c r="C3" s="3"/>
    </row>
    <row r="4" spans="1:4">
      <c r="A4" s="7" t="s">
        <v>23</v>
      </c>
      <c r="B4" s="11"/>
      <c r="C4" s="1"/>
    </row>
    <row r="5" spans="1:4">
      <c r="A5" s="2" t="s">
        <v>0</v>
      </c>
      <c r="B5" s="3"/>
      <c r="C5" s="3"/>
    </row>
    <row r="6" spans="1:4">
      <c r="A6" s="1" t="s">
        <v>5</v>
      </c>
      <c r="B6" s="4"/>
      <c r="D6" s="9" t="str" cm="1">
        <f t="array" ref="D6">IF(ISBLANK(B6),"",_xlfn.SWITCH(B6,"","","Ne s'applique pas","","Problématique",1,"En dessous des attentes",2,"Conforme aux attentes",3,"Au dessus des attentes",4))</f>
        <v/>
      </c>
    </row>
    <row r="7" spans="1:4">
      <c r="A7" s="1" t="s">
        <v>1</v>
      </c>
      <c r="B7" s="4"/>
      <c r="D7" s="9" t="str" cm="1">
        <f t="array" ref="D7">IF(ISBLANK(B7),"",_xlfn.SWITCH(B7,"","","Ne s'applique pas","","Problématique",1,"En dessous des attentes",2,"Conforme aux attentes",3,"Au dessus des attentes",4))</f>
        <v/>
      </c>
    </row>
    <row r="8" spans="1:4">
      <c r="A8" s="1" t="s">
        <v>6</v>
      </c>
      <c r="B8" s="4"/>
      <c r="D8" s="9" t="str" cm="1">
        <f t="array" ref="D8">IF(ISBLANK(B8),"",_xlfn.SWITCH(B8,"","","Ne s'applique pas","","Problématique",1,"En dessous des attentes",2,"Conforme aux attentes",3,"Au dessus des attentes",4))</f>
        <v/>
      </c>
    </row>
    <row r="9" spans="1:4">
      <c r="A9" s="1" t="s">
        <v>7</v>
      </c>
      <c r="B9" s="4"/>
      <c r="D9" s="9" t="str" cm="1">
        <f t="array" ref="D9">IF(ISBLANK(B9),"",_xlfn.SWITCH(B9,"","","Ne s'applique pas","","Problématique",1,"En dessous des attentes",2,"Conforme aux attentes",3,"Au dessus des attentes",4))</f>
        <v/>
      </c>
    </row>
    <row r="10" spans="1:4">
      <c r="A10" s="1" t="s">
        <v>8</v>
      </c>
      <c r="B10" s="4"/>
      <c r="D10" s="9" t="str" cm="1">
        <f t="array" ref="D10">IF(ISBLANK(B10),"",_xlfn.SWITCH(B10,"","","Ne s'applique pas","","Problématique",1,"En dessous des attentes",2,"Conforme aux attentes",3,"Au dessus des attentes",4))</f>
        <v/>
      </c>
    </row>
    <row r="11" spans="1:4">
      <c r="A11" s="1" t="s">
        <v>9</v>
      </c>
      <c r="B11" s="4"/>
      <c r="D11" s="9" t="str" cm="1">
        <f t="array" ref="D11">IF(ISBLANK(B11),"",_xlfn.SWITCH(B11,"","","Ne s'applique pas","","Problématique",1,"En dessous des attentes",2,"Conforme aux attentes",3,"Au dessus des attentes",4))</f>
        <v/>
      </c>
    </row>
    <row r="12" spans="1:4">
      <c r="A12" s="1" t="s">
        <v>10</v>
      </c>
      <c r="B12" s="4"/>
      <c r="D12" s="9" t="str" cm="1">
        <f t="array" ref="D12">IF(ISBLANK(B12),"",_xlfn.SWITCH(B12,"","","Ne s'applique pas","","Problématique",1,"En dessous des attentes",2,"Conforme aux attentes",3,"Au dessus des attentes",4))</f>
        <v/>
      </c>
    </row>
    <row r="13" spans="1:4">
      <c r="A13" s="1" t="s">
        <v>11</v>
      </c>
      <c r="B13" s="4"/>
      <c r="D13" s="9" t="str" cm="1">
        <f t="array" ref="D13">IF(ISBLANK(B13),"",_xlfn.SWITCH(B13,"","","Ne s'applique pas","","Problématique",1,"En dessous des attentes",2,"Conforme aux attentes",3,"Au dessus des attentes",4))</f>
        <v/>
      </c>
    </row>
    <row r="14" spans="1:4">
      <c r="A14" s="1" t="s">
        <v>12</v>
      </c>
      <c r="B14" s="4"/>
      <c r="D14" s="9" t="str" cm="1">
        <f t="array" ref="D14">IF(ISBLANK(B14),"",_xlfn.SWITCH(B14,"","","Ne s'applique pas","","Problématique",1,"En dessous des attentes",2,"Conforme aux attentes",3,"Au dessus des attentes",4))</f>
        <v/>
      </c>
    </row>
    <row r="15" spans="1:4">
      <c r="A15" s="1" t="s">
        <v>13</v>
      </c>
      <c r="B15" s="4"/>
      <c r="D15" s="9" t="str" cm="1">
        <f t="array" ref="D15">IF(ISBLANK(B15),"",_xlfn.SWITCH(B15,"","","Ne s'applique pas","","Problématique",1,"En dessous des attentes",2,"Conforme aux attentes",3,"Au dessus des attentes",4))</f>
        <v/>
      </c>
    </row>
    <row r="16" spans="1:4">
      <c r="A16" s="1" t="s">
        <v>14</v>
      </c>
      <c r="B16" s="4"/>
      <c r="D16" s="9" t="str" cm="1">
        <f t="array" ref="D16">IF(ISBLANK(B16),"",_xlfn.SWITCH(B16,"","","Ne s'applique pas","","Problématique",1,"En dessous des attentes",2,"Conforme aux attentes",3,"Au dessus des attentes",4))</f>
        <v/>
      </c>
    </row>
    <row r="17" spans="1:4">
      <c r="A17" s="2" t="s">
        <v>16</v>
      </c>
      <c r="B17" s="3"/>
      <c r="C17" s="3"/>
      <c r="D17" s="9" t="str" cm="1">
        <f t="array" ref="D17">IF(ISBLANK(B17),"",_xlfn.SWITCH(B17,"","","Ne s'applique pas","","Problématique",1,"En dessous des attentes",2,"Conforme aux attentes",3,"Au dessus des attentes",4))</f>
        <v/>
      </c>
    </row>
    <row r="18" spans="1:4">
      <c r="A18" s="1" t="s">
        <v>2</v>
      </c>
      <c r="B18" s="4"/>
      <c r="D18" s="9" t="str" cm="1">
        <f t="array" ref="D18">IF(ISBLANK(B18),"",_xlfn.SWITCH(B18,"","","Ne s'applique pas","","Problématique",1,"En dessous des attentes",2,"Conforme aux attentes",3,"Au dessus des attentes",4))</f>
        <v/>
      </c>
    </row>
    <row r="19" spans="1:4">
      <c r="A19" s="1" t="s">
        <v>3</v>
      </c>
      <c r="B19" s="4"/>
      <c r="D19" s="9" t="str" cm="1">
        <f t="array" ref="D19">IF(ISBLANK(B19),"",_xlfn.SWITCH(B19,"","","Ne s'applique pas","","Problématique",1,"En dessous des attentes",2,"Conforme aux attentes",3,"Au dessus des attentes",4))</f>
        <v/>
      </c>
    </row>
    <row r="20" spans="1:4">
      <c r="A20" s="1" t="s">
        <v>4</v>
      </c>
      <c r="B20" s="4"/>
      <c r="D20" s="9" t="str" cm="1">
        <f t="array" ref="D20">IF(ISBLANK(B20),"",_xlfn.SWITCH(B20,"","","Ne s'applique pas","","Problématique",1,"En dessous des attentes",2,"Conforme aux attentes",3,"Au dessus des attentes",4))</f>
        <v/>
      </c>
    </row>
    <row r="21" spans="1:4">
      <c r="A21" s="2" t="s">
        <v>25</v>
      </c>
      <c r="B21" s="3"/>
      <c r="C21" s="3"/>
      <c r="D21" s="9" t="str" cm="1">
        <f t="array" ref="D21">IF(ISBLANK(B21),"",_xlfn.SWITCH(B21,"","","Ne s'applique pas","","Problématique",1,"En dessous des attentes",2,"Conforme aux attentes",3,"Au dessus des attentes",4))</f>
        <v/>
      </c>
    </row>
    <row r="22" spans="1:4">
      <c r="A22" s="1" t="str">
        <f>IF(A$2="Programmation","Respect / définition de standard","Configuration / sécurité du réseau")</f>
        <v>Respect / définition de standard</v>
      </c>
      <c r="B22" s="4"/>
      <c r="D22" s="9" t="str" cm="1">
        <f t="array" ref="D22">IF(ISBLANK(B22),"",_xlfn.SWITCH(B22,"","","Ne s'applique pas","","Problématique",1,"En dessous des attentes",2,"Conforme aux attentes",3,"Au dessus des attentes",4))</f>
        <v/>
      </c>
    </row>
    <row r="23" spans="1:4">
      <c r="A23" s="1" t="str">
        <f>IF(A$2="Programmation","Capacité d'apprendre, nouveaux contenus","Administration serveurs")</f>
        <v>Capacité d'apprendre, nouveaux contenus</v>
      </c>
      <c r="B23" s="4"/>
      <c r="D23" s="9" t="str" cm="1">
        <f t="array" ref="D23">IF(ISBLANK(B23),"",_xlfn.SWITCH(B23,"","","Ne s'applique pas","","Problématique",1,"En dessous des attentes",2,"Conforme aux attentes",3,"Au dessus des attentes",4))</f>
        <v/>
      </c>
    </row>
    <row r="24" spans="1:4">
      <c r="A24" s="1" t="str">
        <f>IF(A$2="Programmation","Logique de programmation","Automatisation, scriptage")</f>
        <v>Logique de programmation</v>
      </c>
      <c r="B24" s="4"/>
      <c r="D24" s="9" t="str" cm="1">
        <f t="array" ref="D24">IF(ISBLANK(B24),"",_xlfn.SWITCH(B24,"","","Ne s'applique pas","","Problématique",1,"En dessous des attentes",2,"Conforme aux attentes",3,"Au dessus des attentes",4))</f>
        <v/>
      </c>
    </row>
    <row r="25" spans="1:4">
      <c r="A25" s="1" t="str">
        <f>IF(A$2="Programmation","Facilité au débogage","Soutien, qualité du relationnel")</f>
        <v>Facilité au débogage</v>
      </c>
      <c r="B25" s="4"/>
      <c r="D25" s="9" t="str" cm="1">
        <f t="array" ref="D25">IF(ISBLANK(B25),"",_xlfn.SWITCH(B25,"","","Ne s'applique pas","","Problématique",1,"En dessous des attentes",2,"Conforme aux attentes",3,"Au dessus des attentes",4))</f>
        <v/>
      </c>
    </row>
    <row r="26" spans="1:4">
      <c r="A26" s="1" t="str">
        <f>IF(A$2="Programmation","Code produit conforme aux attentes","Soutien, qualité des solutions apportées")</f>
        <v>Code produit conforme aux attentes</v>
      </c>
      <c r="B26" s="4"/>
      <c r="D26" s="9" t="str" cm="1">
        <f t="array" ref="D26">IF(ISBLANK(B26),"",_xlfn.SWITCH(B26,"","","Ne s'applique pas","","Problématique",1,"En dessous des attentes",2,"Conforme aux attentes",3,"Au dessus des attentes",4))</f>
        <v/>
      </c>
    </row>
    <row r="27" spans="1:4">
      <c r="A27" s="1" t="str">
        <f>IF(A$2="Programmation","Tests unitaires fonctionnels etc","Méthode de travail")</f>
        <v>Tests unitaires fonctionnels etc</v>
      </c>
      <c r="B27" s="4"/>
      <c r="D27" s="9" t="str" cm="1">
        <f t="array" ref="D27">IF(ISBLANK(B27),"",_xlfn.SWITCH(B27,"","","Ne s'applique pas","","Problématique",1,"En dessous des attentes",2,"Conforme aux attentes",3,"Au dessus des attentes",4))</f>
        <v/>
      </c>
    </row>
    <row r="28" spans="1:4">
      <c r="A28" s="2" t="s">
        <v>17</v>
      </c>
      <c r="B28" s="3"/>
      <c r="C28" s="3"/>
      <c r="D28" s="9" t="str" cm="1">
        <f t="array" ref="D28">IF(ISBLANK(B28),"",_xlfn.SWITCH(B28,"","","Ne s'applique pas","","Problématique",1,"En dessous des attentes",2,"Conforme aux attentes",3,"Au dessus des attentes",4))</f>
        <v/>
      </c>
    </row>
    <row r="29" spans="1:4">
      <c r="A29" s="1" t="s">
        <v>9</v>
      </c>
      <c r="B29" s="4"/>
      <c r="D29" s="9" t="str" cm="1">
        <f t="array" ref="D29">IF(ISBLANK(B29),"",_xlfn.SWITCH(B29,"","","Ne s'applique pas","","Problématique",1,"En dessous des attentes",2,"Conforme aux attentes",3,"Au dessus des attentes",4))</f>
        <v/>
      </c>
    </row>
    <row r="30" spans="1:4">
      <c r="A30" s="1" t="s">
        <v>10</v>
      </c>
      <c r="B30" s="4"/>
      <c r="D30" s="9" t="str" cm="1">
        <f t="array" ref="D30">IF(ISBLANK(B30),"",_xlfn.SWITCH(B30,"","","Ne s'applique pas","","Problématique",1,"En dessous des attentes",2,"Conforme aux attentes",3,"Au dessus des attentes",4))</f>
        <v/>
      </c>
    </row>
    <row r="31" spans="1:4">
      <c r="A31" s="1" t="s">
        <v>18</v>
      </c>
      <c r="B31" s="4"/>
      <c r="D31" s="9" t="str" cm="1">
        <f t="array" ref="D31">IF(ISBLANK(B31),"",_xlfn.SWITCH(B31,"","","Ne s'applique pas","","Problématique",1,"En dessous des attentes",2,"Conforme aux attentes",3,"Au dessus des attentes",4))</f>
        <v/>
      </c>
    </row>
    <row r="32" spans="1:4">
      <c r="D32" s="9">
        <f>26 - COUNTIF(D6:D31,"")</f>
        <v>0</v>
      </c>
    </row>
    <row r="33" spans="1:4">
      <c r="D33" s="10" t="str">
        <f>IF(D32&gt;0,MIN(1,SUM(D6:D31)/(D32*3)),"")</f>
        <v/>
      </c>
    </row>
    <row r="34" spans="1:4" hidden="1">
      <c r="A34" s="1" t="s">
        <v>24</v>
      </c>
      <c r="B34" s="8" t="str">
        <f>IF(ISBLANK(B4),"?",IF(B4="Non",0.55,MAX(0.6,D33)))</f>
        <v>?</v>
      </c>
    </row>
  </sheetData>
  <dataValidations disablePrompts="1" count="2">
    <dataValidation type="list" allowBlank="1" showInputMessage="1" showErrorMessage="1" sqref="B6:B16 B18:B20 B22:B27 B29:B31" xr:uid="{82374D2C-ED20-D343-8260-A4AFFEBE536F}">
      <formula1>"Au dessus des attentes,Conforme aux attentes,En dessous des attentes,Problématique,Ne s'applique pas"</formula1>
    </dataValidation>
    <dataValidation type="list" allowBlank="1" showInputMessage="1" showErrorMessage="1" sqref="B4" xr:uid="{B5E82136-8B26-974A-A760-57BA4C93C217}">
      <formula1>"Oui,Non"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Vincent Drolet</cp:lastModifiedBy>
  <dcterms:created xsi:type="dcterms:W3CDTF">2022-12-15T01:31:37Z</dcterms:created>
  <dcterms:modified xsi:type="dcterms:W3CDTF">2025-01-24T16:26:30Z</dcterms:modified>
</cp:coreProperties>
</file>